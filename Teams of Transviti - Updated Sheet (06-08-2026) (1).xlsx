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s2\Downloads\"/>
    </mc:Choice>
  </mc:AlternateContent>
  <xr:revisionPtr revIDLastSave="0" documentId="11_28ABBE04F9CF855081A6FBAF2E6FECF5E4C02F7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Master - Aug 2026" sheetId="1" r:id="rId1"/>
    <sheet name="Executive Dashboard" sheetId="2" r:id="rId2"/>
  </sheets>
  <definedNames>
    <definedName name="_xlnm._FilterDatabase" localSheetId="0" hidden="1">'Payroll Master - Aug 2026'!$A$1:$J$40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" l="1"/>
  <c r="I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<sst xmlns="http://schemas.openxmlformats.org/spreadsheetml/2006/main" count="229" uniqueCount="115">
  <si>
    <t>S.No</t>
  </si>
  <si>
    <t>Employee Name</t>
  </si>
  <si>
    <t>Current Title (As-Is)</t>
  </si>
  <si>
    <t>Suggested Title (Aligned)</t>
  </si>
  <si>
    <t>Department</t>
  </si>
  <si>
    <t>Date of Joining (DOJ)</t>
  </si>
  <si>
    <t>Tenure as of 06-Aug-2026 (Years)</t>
  </si>
  <si>
    <t>Employee Type</t>
  </si>
  <si>
    <t>Gross Salary (PKR)</t>
  </si>
  <si>
    <t>Reporting Manager (For Sir Junaid)</t>
  </si>
  <si>
    <t>Kawish Khuwaja</t>
  </si>
  <si>
    <t>Taxation Officer</t>
  </si>
  <si>
    <t>Finance</t>
  </si>
  <si>
    <t>Contractor</t>
  </si>
  <si>
    <t>Muhammad Rehan Wasti</t>
  </si>
  <si>
    <t>Director Admin &amp; Opertaions</t>
  </si>
  <si>
    <t>Director Admin &amp; Operations</t>
  </si>
  <si>
    <t>Admin</t>
  </si>
  <si>
    <t>Permanent</t>
  </si>
  <si>
    <t>Anumta Munir</t>
  </si>
  <si>
    <t>Head of Innovations</t>
  </si>
  <si>
    <t>Head of Innovation</t>
  </si>
  <si>
    <t>Research &amp; Development</t>
  </si>
  <si>
    <t>Naseem Ahmed</t>
  </si>
  <si>
    <t>Office Boy</t>
  </si>
  <si>
    <t>Adnan Taj</t>
  </si>
  <si>
    <t>Asst Manager - IT Support</t>
  </si>
  <si>
    <t>Assistant Manager - IT Support</t>
  </si>
  <si>
    <t>IT</t>
  </si>
  <si>
    <t>Outsourced</t>
  </si>
  <si>
    <t>Uzair Kabeer</t>
  </si>
  <si>
    <t>Senior Frontend Developer</t>
  </si>
  <si>
    <t>Frontend</t>
  </si>
  <si>
    <t>Sarim Khan</t>
  </si>
  <si>
    <t>Project Manager</t>
  </si>
  <si>
    <t>Product Implementation</t>
  </si>
  <si>
    <t>Muhammad Umair</t>
  </si>
  <si>
    <t>Proposals &amp; Content Development</t>
  </si>
  <si>
    <t>Proposals &amp; Content Development Specialist</t>
  </si>
  <si>
    <t>Proposals Development</t>
  </si>
  <si>
    <t>Muhammad Waqas</t>
  </si>
  <si>
    <t>CFO</t>
  </si>
  <si>
    <t>Chief Financial Officer (CFO)</t>
  </si>
  <si>
    <t>Areeb Ahmer</t>
  </si>
  <si>
    <t>Mid-Level Backend Developer</t>
  </si>
  <si>
    <t>Backend</t>
  </si>
  <si>
    <t>Syed Faran ul Haq</t>
  </si>
  <si>
    <t>Senior Flutter Developer</t>
  </si>
  <si>
    <t>Senior Flutter Developer (Mobile)</t>
  </si>
  <si>
    <t>Mobile App</t>
  </si>
  <si>
    <t>Muhammad Rafay Iqbal</t>
  </si>
  <si>
    <t>Mid-Level Frontend Developer</t>
  </si>
  <si>
    <t>Hafsa Sohail</t>
  </si>
  <si>
    <t>Junior Frontend Developer</t>
  </si>
  <si>
    <t>Sameed Ahmed</t>
  </si>
  <si>
    <t>Frontend Developer</t>
  </si>
  <si>
    <t>Muhammad Hussain Usmani</t>
  </si>
  <si>
    <t>Wordpress Developer</t>
  </si>
  <si>
    <t>WordPress Developer</t>
  </si>
  <si>
    <t>Website Development</t>
  </si>
  <si>
    <t>Uzair Ahmed</t>
  </si>
  <si>
    <t>Implementation Manager</t>
  </si>
  <si>
    <t>Saram Islam</t>
  </si>
  <si>
    <t>Muhamamd Saad</t>
  </si>
  <si>
    <t>Abdul Wahab</t>
  </si>
  <si>
    <t>-</t>
  </si>
  <si>
    <t>---</t>
  </si>
  <si>
    <t>Syed Hasan Nasir</t>
  </si>
  <si>
    <t>Senior Consultant - II</t>
  </si>
  <si>
    <t>Senior Consultant II</t>
  </si>
  <si>
    <t>Data Analytics</t>
  </si>
  <si>
    <t>Walayat Ali</t>
  </si>
  <si>
    <t>Asadullah</t>
  </si>
  <si>
    <t>Junior Backend Developer</t>
  </si>
  <si>
    <t>Muhammad Zohaib</t>
  </si>
  <si>
    <t>UI/UX Designer</t>
  </si>
  <si>
    <t>Creative Department</t>
  </si>
  <si>
    <t>Muhammad Umar Khan</t>
  </si>
  <si>
    <t>Umair Arshad Karim</t>
  </si>
  <si>
    <t>Senior Product Manager</t>
  </si>
  <si>
    <t>Product Development</t>
  </si>
  <si>
    <t>Stackup</t>
  </si>
  <si>
    <t>Ali Hasan</t>
  </si>
  <si>
    <t>Hamza Akbar</t>
  </si>
  <si>
    <t>Syed Abeer Ali</t>
  </si>
  <si>
    <t>Basil Abbas</t>
  </si>
  <si>
    <t>HR Consultant</t>
  </si>
  <si>
    <t>Probation</t>
  </si>
  <si>
    <t>Syed Ayyan Ali</t>
  </si>
  <si>
    <t>Intern Software Engineer</t>
  </si>
  <si>
    <t>Software Engineer Intern</t>
  </si>
  <si>
    <t>Intern</t>
  </si>
  <si>
    <t>Ali Danial Shahzad</t>
  </si>
  <si>
    <t>Rohaan Ali Talpur</t>
  </si>
  <si>
    <t>Khawaja Hassaan Tariq</t>
  </si>
  <si>
    <t>Faez Ansar Ahmed</t>
  </si>
  <si>
    <t>Muhammad Azeem</t>
  </si>
  <si>
    <t>Senior Backend Developer</t>
  </si>
  <si>
    <t>Ashhal Anees</t>
  </si>
  <si>
    <t>TIPTOP Software Developer</t>
  </si>
  <si>
    <t>Muhammad Yousuf</t>
  </si>
  <si>
    <t>Zaid Farooqui</t>
  </si>
  <si>
    <t>Mid Level Backend</t>
  </si>
  <si>
    <t>Syed Muhammad Shayan Jafri</t>
  </si>
  <si>
    <t>Intern Data Analyst</t>
  </si>
  <si>
    <t>Data Analyst Intern</t>
  </si>
  <si>
    <t>Data Engineering</t>
  </si>
  <si>
    <t>Grand Total</t>
  </si>
  <si>
    <t>Total Headcount</t>
  </si>
  <si>
    <t>Transviti - Executive Dashboard</t>
  </si>
  <si>
    <t>As of 06-Aug-2026 | 39 Active Employees | Total Monthly Payroll PKR 5,652,000 | Tenure as of 06-Aug-2026 | HR Consultant Update</t>
  </si>
  <si>
    <t>Payroll by Department</t>
  </si>
  <si>
    <t>Headcount</t>
  </si>
  <si>
    <t>Total Salary (PKR)</t>
  </si>
  <si>
    <t>Avg Salary (PKR)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</si>
</sst>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PKR&quot;\ #,##0"/>
    <numFmt numFmtId="166" formatCode="dd\-mmm\-yyyy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D7C8E"/>
      <name val="Calibri"/>
    </font>
    <font>
      <b/>
      <sz val="16"/>
      <color rgb="FF0D7C8E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D7C8E"/>
        <bgColor rgb="FF0D7C8E"/>
      </patternFill>
    </fill>
    <fill>
      <patternFill patternType="solid">
        <fgColor rgb="FFF5F5F5"/>
        <bgColor rgb="FFF5F5F5"/>
      </patternFill>
    </fill>
    <fill>
      <patternFill patternType="solid">
        <fgColor rgb="FFFFF8E1"/>
        <bgColor rgb="FFFFF8E1"/>
      </patternFill>
    </fill>
    <fill>
      <patternFill patternType="solid">
        <fgColor rgb="FFE0F2F1"/>
        <bgColor rgb="FFE0F2F1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3" fillId="5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zoomScale="58" workbookViewId="0">
      <pane xSplit="2" ySplit="1" topLeftCell="C2" activePane="bottomRight" state="frozen"/>
      <selection pane="topRight"/>
      <selection pane="bottomLeft"/>
      <selection pane="bottomRight" activeCell="N4" sqref="N4"/>
    </sheetView>
  </sheetViews>
  <sheetFormatPr defaultRowHeight="14.5" x14ac:dyDescent="0.35"/>
  <cols>
    <col min="1" max="1" width="8" customWidth="1"/>
    <col min="2" max="2" width="24" customWidth="1"/>
    <col min="3" max="3" width="30" customWidth="1"/>
    <col min="4" max="4" width="36" customWidth="1"/>
    <col min="5" max="5" width="24" customWidth="1"/>
    <col min="6" max="6" width="16" customWidth="1"/>
    <col min="7" max="7" width="22" customWidth="1"/>
    <col min="8" max="8" width="14" customWidth="1"/>
    <col min="9" max="9" width="18" customWidth="1"/>
    <col min="10" max="10" width="30" customWidth="1"/>
  </cols>
  <sheetData>
    <row r="1" spans="1:10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6" customHeight="1" x14ac:dyDescent="0.35">
      <c r="A2" s="2">
        <v>1</v>
      </c>
      <c r="B2" s="3" t="s">
        <v>10</v>
      </c>
      <c r="C2" s="3" t="s">
        <v>11</v>
      </c>
      <c r="D2" s="4" t="s">
        <v>11</v>
      </c>
      <c r="E2" s="3" t="s">
        <v>12</v>
      </c>
      <c r="F2" s="5">
        <v>44044</v>
      </c>
      <c r="G2" s="2">
        <f t="shared" ref="G2:G40" si="0">IF(F2="","",ROUND((DATE(2026,8,6)-F2)/365.25,1))</f>
        <v>6</v>
      </c>
      <c r="H2" s="2" t="s">
        <v>13</v>
      </c>
      <c r="I2" s="6">
        <v>45000</v>
      </c>
      <c r="J2" s="3"/>
    </row>
    <row r="3" spans="1:10" ht="36" customHeight="1" x14ac:dyDescent="0.35">
      <c r="A3" s="7">
        <v>2</v>
      </c>
      <c r="B3" s="8" t="s">
        <v>14</v>
      </c>
      <c r="C3" s="8" t="s">
        <v>15</v>
      </c>
      <c r="D3" s="9" t="s">
        <v>16</v>
      </c>
      <c r="E3" s="8" t="s">
        <v>17</v>
      </c>
      <c r="F3" s="10">
        <v>44058</v>
      </c>
      <c r="G3" s="7">
        <f t="shared" si="0"/>
        <v>6</v>
      </c>
      <c r="H3" s="7" t="s">
        <v>18</v>
      </c>
      <c r="I3" s="6">
        <v>172000</v>
      </c>
      <c r="J3" s="8"/>
    </row>
    <row r="4" spans="1:10" ht="36" customHeight="1" x14ac:dyDescent="0.35">
      <c r="A4" s="2">
        <v>3</v>
      </c>
      <c r="B4" s="3" t="s">
        <v>19</v>
      </c>
      <c r="C4" s="3" t="s">
        <v>20</v>
      </c>
      <c r="D4" s="4" t="s">
        <v>21</v>
      </c>
      <c r="E4" s="3" t="s">
        <v>22</v>
      </c>
      <c r="F4" s="5">
        <v>44409</v>
      </c>
      <c r="G4" s="2">
        <f t="shared" si="0"/>
        <v>5</v>
      </c>
      <c r="H4" s="2" t="s">
        <v>18</v>
      </c>
      <c r="I4" s="6">
        <v>250000</v>
      </c>
      <c r="J4" s="3"/>
    </row>
    <row r="5" spans="1:10" ht="36" customHeight="1" x14ac:dyDescent="0.35">
      <c r="A5" s="7">
        <v>4</v>
      </c>
      <c r="B5" s="8" t="s">
        <v>23</v>
      </c>
      <c r="C5" s="8" t="s">
        <v>24</v>
      </c>
      <c r="D5" s="9" t="s">
        <v>24</v>
      </c>
      <c r="E5" s="8" t="s">
        <v>17</v>
      </c>
      <c r="F5" s="10">
        <v>45209</v>
      </c>
      <c r="G5" s="7">
        <f t="shared" si="0"/>
        <v>2.8</v>
      </c>
      <c r="H5" s="7" t="s">
        <v>18</v>
      </c>
      <c r="I5" s="6">
        <v>55000</v>
      </c>
      <c r="J5" s="8"/>
    </row>
    <row r="6" spans="1:10" ht="36" customHeight="1" x14ac:dyDescent="0.35">
      <c r="A6" s="2">
        <v>5</v>
      </c>
      <c r="B6" s="3" t="s">
        <v>25</v>
      </c>
      <c r="C6" s="3" t="s">
        <v>26</v>
      </c>
      <c r="D6" s="4" t="s">
        <v>27</v>
      </c>
      <c r="E6" s="3" t="s">
        <v>28</v>
      </c>
      <c r="F6" s="5">
        <v>45344</v>
      </c>
      <c r="G6" s="2">
        <f t="shared" si="0"/>
        <v>2.5</v>
      </c>
      <c r="H6" s="2" t="s">
        <v>29</v>
      </c>
      <c r="I6" s="6">
        <v>250000</v>
      </c>
      <c r="J6" s="3"/>
    </row>
    <row r="7" spans="1:10" ht="36" customHeight="1" x14ac:dyDescent="0.35">
      <c r="A7" s="7">
        <v>6</v>
      </c>
      <c r="B7" s="8" t="s">
        <v>30</v>
      </c>
      <c r="C7" s="8" t="s">
        <v>31</v>
      </c>
      <c r="D7" s="9" t="s">
        <v>31</v>
      </c>
      <c r="E7" s="8" t="s">
        <v>32</v>
      </c>
      <c r="F7" s="10">
        <v>45366</v>
      </c>
      <c r="G7" s="7">
        <f t="shared" si="0"/>
        <v>2.4</v>
      </c>
      <c r="H7" s="7" t="s">
        <v>18</v>
      </c>
      <c r="I7" s="6">
        <v>240000</v>
      </c>
      <c r="J7" s="8"/>
    </row>
    <row r="8" spans="1:10" ht="36" customHeight="1" x14ac:dyDescent="0.35">
      <c r="A8" s="2">
        <v>7</v>
      </c>
      <c r="B8" s="3" t="s">
        <v>33</v>
      </c>
      <c r="C8" s="3" t="s">
        <v>34</v>
      </c>
      <c r="D8" s="4" t="s">
        <v>34</v>
      </c>
      <c r="E8" s="3" t="s">
        <v>35</v>
      </c>
      <c r="F8" s="5">
        <v>45554</v>
      </c>
      <c r="G8" s="2">
        <f t="shared" si="0"/>
        <v>1.9</v>
      </c>
      <c r="H8" s="2" t="s">
        <v>18</v>
      </c>
      <c r="I8" s="6">
        <v>250000</v>
      </c>
      <c r="J8" s="3"/>
    </row>
    <row r="9" spans="1:10" ht="36" customHeight="1" x14ac:dyDescent="0.35">
      <c r="A9" s="7">
        <v>8</v>
      </c>
      <c r="B9" s="8" t="s">
        <v>36</v>
      </c>
      <c r="C9" s="8" t="s">
        <v>37</v>
      </c>
      <c r="D9" s="9" t="s">
        <v>38</v>
      </c>
      <c r="E9" s="8" t="s">
        <v>39</v>
      </c>
      <c r="F9" s="10">
        <v>45614</v>
      </c>
      <c r="G9" s="7">
        <f t="shared" si="0"/>
        <v>1.7</v>
      </c>
      <c r="H9" s="7" t="s">
        <v>18</v>
      </c>
      <c r="I9" s="6">
        <v>150000</v>
      </c>
      <c r="J9" s="8"/>
    </row>
    <row r="10" spans="1:10" ht="36" customHeight="1" x14ac:dyDescent="0.35">
      <c r="A10" s="2">
        <v>9</v>
      </c>
      <c r="B10" s="3" t="s">
        <v>40</v>
      </c>
      <c r="C10" s="3" t="s">
        <v>41</v>
      </c>
      <c r="D10" s="4" t="s">
        <v>42</v>
      </c>
      <c r="E10" s="3" t="s">
        <v>12</v>
      </c>
      <c r="F10" s="5">
        <v>45635</v>
      </c>
      <c r="G10" s="2">
        <f t="shared" si="0"/>
        <v>1.7</v>
      </c>
      <c r="H10" s="2" t="s">
        <v>18</v>
      </c>
      <c r="I10" s="6">
        <v>45000</v>
      </c>
      <c r="J10" s="3"/>
    </row>
    <row r="11" spans="1:10" ht="36" customHeight="1" x14ac:dyDescent="0.35">
      <c r="A11" s="7">
        <v>10</v>
      </c>
      <c r="B11" s="8" t="s">
        <v>43</v>
      </c>
      <c r="C11" s="8" t="s">
        <v>44</v>
      </c>
      <c r="D11" s="9" t="s">
        <v>44</v>
      </c>
      <c r="E11" s="8" t="s">
        <v>45</v>
      </c>
      <c r="F11" s="10">
        <v>45719</v>
      </c>
      <c r="G11" s="7">
        <f t="shared" si="0"/>
        <v>1.4</v>
      </c>
      <c r="H11" s="7" t="s">
        <v>18</v>
      </c>
      <c r="I11" s="6">
        <v>200000</v>
      </c>
      <c r="J11" s="8"/>
    </row>
    <row r="12" spans="1:10" ht="36" customHeight="1" x14ac:dyDescent="0.35">
      <c r="A12" s="2">
        <v>11</v>
      </c>
      <c r="B12" s="3" t="s">
        <v>46</v>
      </c>
      <c r="C12" s="3" t="s">
        <v>47</v>
      </c>
      <c r="D12" s="4" t="s">
        <v>48</v>
      </c>
      <c r="E12" s="3" t="s">
        <v>49</v>
      </c>
      <c r="F12" s="5">
        <v>45811</v>
      </c>
      <c r="G12" s="2">
        <f t="shared" si="0"/>
        <v>1.2</v>
      </c>
      <c r="H12" s="2" t="s">
        <v>18</v>
      </c>
      <c r="I12" s="6">
        <v>200000</v>
      </c>
      <c r="J12" s="3"/>
    </row>
    <row r="13" spans="1:10" ht="36" customHeight="1" x14ac:dyDescent="0.35">
      <c r="A13" s="7">
        <v>12</v>
      </c>
      <c r="B13" s="8" t="s">
        <v>50</v>
      </c>
      <c r="C13" s="8" t="s">
        <v>51</v>
      </c>
      <c r="D13" s="9" t="s">
        <v>51</v>
      </c>
      <c r="E13" s="8" t="s">
        <v>32</v>
      </c>
      <c r="F13" s="10">
        <v>45826</v>
      </c>
      <c r="G13" s="7">
        <f t="shared" si="0"/>
        <v>1.1000000000000001</v>
      </c>
      <c r="H13" s="7" t="s">
        <v>18</v>
      </c>
      <c r="I13" s="6">
        <v>165000</v>
      </c>
      <c r="J13" s="8"/>
    </row>
    <row r="14" spans="1:10" ht="36" customHeight="1" x14ac:dyDescent="0.35">
      <c r="A14" s="2">
        <v>13</v>
      </c>
      <c r="B14" s="3" t="s">
        <v>52</v>
      </c>
      <c r="C14" s="3" t="s">
        <v>53</v>
      </c>
      <c r="D14" s="4" t="s">
        <v>53</v>
      </c>
      <c r="E14" s="3" t="s">
        <v>32</v>
      </c>
      <c r="F14" s="5">
        <v>45838</v>
      </c>
      <c r="G14" s="2">
        <f t="shared" si="0"/>
        <v>1.1000000000000001</v>
      </c>
      <c r="H14" s="2" t="s">
        <v>18</v>
      </c>
      <c r="I14" s="6">
        <v>90000</v>
      </c>
      <c r="J14" s="3"/>
    </row>
    <row r="15" spans="1:10" ht="36" customHeight="1" x14ac:dyDescent="0.35">
      <c r="A15" s="7">
        <v>14</v>
      </c>
      <c r="B15" s="8" t="s">
        <v>54</v>
      </c>
      <c r="C15" s="8" t="s">
        <v>55</v>
      </c>
      <c r="D15" s="9" t="s">
        <v>55</v>
      </c>
      <c r="E15" s="8" t="s">
        <v>32</v>
      </c>
      <c r="F15" s="10">
        <v>45839</v>
      </c>
      <c r="G15" s="7">
        <f t="shared" si="0"/>
        <v>1.1000000000000001</v>
      </c>
      <c r="H15" s="7" t="s">
        <v>18</v>
      </c>
      <c r="I15" s="6">
        <v>130000</v>
      </c>
      <c r="J15" s="8"/>
    </row>
    <row r="16" spans="1:10" ht="36" customHeight="1" x14ac:dyDescent="0.35">
      <c r="A16" s="2">
        <v>15</v>
      </c>
      <c r="B16" s="3" t="s">
        <v>56</v>
      </c>
      <c r="C16" s="3" t="s">
        <v>57</v>
      </c>
      <c r="D16" s="4" t="s">
        <v>58</v>
      </c>
      <c r="E16" s="3" t="s">
        <v>59</v>
      </c>
      <c r="F16" s="5">
        <v>45874</v>
      </c>
      <c r="G16" s="2">
        <f t="shared" si="0"/>
        <v>1</v>
      </c>
      <c r="H16" s="2" t="s">
        <v>18</v>
      </c>
      <c r="I16" s="6">
        <v>50000</v>
      </c>
      <c r="J16" s="3"/>
    </row>
    <row r="17" spans="1:10" ht="36" customHeight="1" x14ac:dyDescent="0.35">
      <c r="A17" s="7">
        <v>16</v>
      </c>
      <c r="B17" s="8" t="s">
        <v>60</v>
      </c>
      <c r="C17" s="8" t="s">
        <v>61</v>
      </c>
      <c r="D17" s="9" t="s">
        <v>61</v>
      </c>
      <c r="E17" s="8" t="s">
        <v>35</v>
      </c>
      <c r="F17" s="10">
        <v>45901</v>
      </c>
      <c r="G17" s="7">
        <f t="shared" si="0"/>
        <v>0.9</v>
      </c>
      <c r="H17" s="7" t="s">
        <v>18</v>
      </c>
      <c r="I17" s="6">
        <v>60000</v>
      </c>
      <c r="J17" s="8"/>
    </row>
    <row r="18" spans="1:10" ht="36" customHeight="1" x14ac:dyDescent="0.35">
      <c r="A18" s="2">
        <v>17</v>
      </c>
      <c r="B18" s="3" t="s">
        <v>62</v>
      </c>
      <c r="C18" s="3" t="s">
        <v>44</v>
      </c>
      <c r="D18" s="4" t="s">
        <v>44</v>
      </c>
      <c r="E18" s="3" t="s">
        <v>45</v>
      </c>
      <c r="F18" s="5">
        <v>45940</v>
      </c>
      <c r="G18" s="2">
        <f t="shared" si="0"/>
        <v>0.8</v>
      </c>
      <c r="H18" s="2" t="s">
        <v>18</v>
      </c>
      <c r="I18" s="6">
        <v>180000</v>
      </c>
      <c r="J18" s="3"/>
    </row>
    <row r="19" spans="1:10" ht="36" customHeight="1" x14ac:dyDescent="0.35">
      <c r="A19" s="7">
        <v>18</v>
      </c>
      <c r="B19" s="8" t="s">
        <v>63</v>
      </c>
      <c r="C19" s="8" t="s">
        <v>44</v>
      </c>
      <c r="D19" s="9" t="s">
        <v>44</v>
      </c>
      <c r="E19" s="8" t="s">
        <v>45</v>
      </c>
      <c r="F19" s="10">
        <v>45950</v>
      </c>
      <c r="G19" s="7">
        <f t="shared" si="0"/>
        <v>0.8</v>
      </c>
      <c r="H19" s="7" t="s">
        <v>18</v>
      </c>
      <c r="I19" s="6">
        <v>200000</v>
      </c>
      <c r="J19" s="8"/>
    </row>
    <row r="20" spans="1:10" ht="36" customHeight="1" x14ac:dyDescent="0.35">
      <c r="A20" s="2">
        <v>19</v>
      </c>
      <c r="B20" s="3" t="s">
        <v>64</v>
      </c>
      <c r="C20" s="3" t="s">
        <v>65</v>
      </c>
      <c r="D20" s="4" t="s">
        <v>66</v>
      </c>
      <c r="E20" s="3" t="s">
        <v>65</v>
      </c>
      <c r="F20" s="5">
        <v>46209</v>
      </c>
      <c r="G20" s="2">
        <f t="shared" si="0"/>
        <v>0.1</v>
      </c>
      <c r="H20" s="2" t="s">
        <v>65</v>
      </c>
      <c r="I20" s="6">
        <v>240000</v>
      </c>
      <c r="J20" s="3"/>
    </row>
    <row r="21" spans="1:10" ht="36" customHeight="1" x14ac:dyDescent="0.35">
      <c r="A21" s="7">
        <v>20</v>
      </c>
      <c r="B21" s="8" t="s">
        <v>67</v>
      </c>
      <c r="C21" s="8" t="s">
        <v>68</v>
      </c>
      <c r="D21" s="9" t="s">
        <v>69</v>
      </c>
      <c r="E21" s="8" t="s">
        <v>70</v>
      </c>
      <c r="F21" s="10">
        <v>45962</v>
      </c>
      <c r="G21" s="7">
        <f t="shared" si="0"/>
        <v>0.8</v>
      </c>
      <c r="H21" s="7" t="s">
        <v>29</v>
      </c>
      <c r="I21" s="6">
        <v>220000</v>
      </c>
      <c r="J21" s="8"/>
    </row>
    <row r="22" spans="1:10" ht="36" customHeight="1" x14ac:dyDescent="0.35">
      <c r="A22" s="2">
        <v>21</v>
      </c>
      <c r="B22" s="3" t="s">
        <v>71</v>
      </c>
      <c r="C22" s="3" t="s">
        <v>51</v>
      </c>
      <c r="D22" s="4" t="s">
        <v>51</v>
      </c>
      <c r="E22" s="3" t="s">
        <v>32</v>
      </c>
      <c r="F22" s="5">
        <v>45992</v>
      </c>
      <c r="G22" s="2">
        <f t="shared" si="0"/>
        <v>0.7</v>
      </c>
      <c r="H22" s="2" t="s">
        <v>18</v>
      </c>
      <c r="I22" s="6">
        <v>150000</v>
      </c>
      <c r="J22" s="3"/>
    </row>
    <row r="23" spans="1:10" ht="36" customHeight="1" x14ac:dyDescent="0.35">
      <c r="A23" s="7">
        <v>22</v>
      </c>
      <c r="B23" s="8" t="s">
        <v>72</v>
      </c>
      <c r="C23" s="8" t="s">
        <v>73</v>
      </c>
      <c r="D23" s="9" t="s">
        <v>73</v>
      </c>
      <c r="E23" s="8" t="s">
        <v>45</v>
      </c>
      <c r="F23" s="10">
        <v>46013</v>
      </c>
      <c r="G23" s="7">
        <f t="shared" si="0"/>
        <v>0.6</v>
      </c>
      <c r="H23" s="7" t="s">
        <v>18</v>
      </c>
      <c r="I23" s="6">
        <v>120000</v>
      </c>
      <c r="J23" s="8"/>
    </row>
    <row r="24" spans="1:10" ht="36" customHeight="1" x14ac:dyDescent="0.35">
      <c r="A24" s="2">
        <v>23</v>
      </c>
      <c r="B24" s="3" t="s">
        <v>74</v>
      </c>
      <c r="C24" s="3" t="s">
        <v>75</v>
      </c>
      <c r="D24" s="4" t="s">
        <v>75</v>
      </c>
      <c r="E24" s="3" t="s">
        <v>76</v>
      </c>
      <c r="F24" s="5">
        <v>46021</v>
      </c>
      <c r="G24" s="2">
        <f t="shared" si="0"/>
        <v>0.6</v>
      </c>
      <c r="H24" s="2" t="s">
        <v>18</v>
      </c>
      <c r="I24" s="6">
        <v>150000</v>
      </c>
      <c r="J24" s="3"/>
    </row>
    <row r="25" spans="1:10" ht="36" customHeight="1" x14ac:dyDescent="0.35">
      <c r="A25" s="7">
        <v>24</v>
      </c>
      <c r="B25" s="8" t="s">
        <v>77</v>
      </c>
      <c r="C25" s="8" t="s">
        <v>31</v>
      </c>
      <c r="D25" s="9" t="s">
        <v>31</v>
      </c>
      <c r="E25" s="8" t="s">
        <v>32</v>
      </c>
      <c r="F25" s="10">
        <v>46034</v>
      </c>
      <c r="G25" s="7">
        <f t="shared" si="0"/>
        <v>0.6</v>
      </c>
      <c r="H25" s="7" t="s">
        <v>18</v>
      </c>
      <c r="I25" s="6">
        <v>225000</v>
      </c>
      <c r="J25" s="8"/>
    </row>
    <row r="26" spans="1:10" ht="36" customHeight="1" x14ac:dyDescent="0.35">
      <c r="A26" s="2">
        <v>25</v>
      </c>
      <c r="B26" s="3" t="s">
        <v>78</v>
      </c>
      <c r="C26" s="3" t="s">
        <v>79</v>
      </c>
      <c r="D26" s="4" t="s">
        <v>79</v>
      </c>
      <c r="E26" s="3" t="s">
        <v>80</v>
      </c>
      <c r="F26" s="5">
        <v>46034</v>
      </c>
      <c r="G26" s="2">
        <f t="shared" si="0"/>
        <v>0.6</v>
      </c>
      <c r="H26" s="2" t="s">
        <v>81</v>
      </c>
      <c r="I26" s="6">
        <v>400000</v>
      </c>
      <c r="J26" s="3"/>
    </row>
    <row r="27" spans="1:10" ht="36" customHeight="1" x14ac:dyDescent="0.35">
      <c r="A27" s="7">
        <v>26</v>
      </c>
      <c r="B27" s="8" t="s">
        <v>82</v>
      </c>
      <c r="C27" s="8" t="s">
        <v>73</v>
      </c>
      <c r="D27" s="9" t="s">
        <v>73</v>
      </c>
      <c r="E27" s="8" t="s">
        <v>45</v>
      </c>
      <c r="F27" s="10">
        <v>46093</v>
      </c>
      <c r="G27" s="7">
        <f t="shared" si="0"/>
        <v>0.4</v>
      </c>
      <c r="H27" s="7" t="s">
        <v>18</v>
      </c>
      <c r="I27" s="6">
        <v>145000</v>
      </c>
      <c r="J27" s="8"/>
    </row>
    <row r="28" spans="1:10" ht="36" customHeight="1" x14ac:dyDescent="0.35">
      <c r="A28" s="2">
        <v>27</v>
      </c>
      <c r="B28" s="3" t="s">
        <v>83</v>
      </c>
      <c r="C28" s="3" t="s">
        <v>31</v>
      </c>
      <c r="D28" s="4" t="s">
        <v>31</v>
      </c>
      <c r="E28" s="3" t="s">
        <v>32</v>
      </c>
      <c r="F28" s="5">
        <v>46119</v>
      </c>
      <c r="G28" s="2">
        <f t="shared" si="0"/>
        <v>0.3</v>
      </c>
      <c r="H28" s="2" t="s">
        <v>29</v>
      </c>
      <c r="I28" s="6">
        <v>300000</v>
      </c>
      <c r="J28" s="3"/>
    </row>
    <row r="29" spans="1:10" ht="36" customHeight="1" x14ac:dyDescent="0.35">
      <c r="A29" s="7">
        <v>28</v>
      </c>
      <c r="B29" s="8" t="s">
        <v>84</v>
      </c>
      <c r="C29" s="8" t="s">
        <v>73</v>
      </c>
      <c r="D29" s="9" t="s">
        <v>73</v>
      </c>
      <c r="E29" s="8" t="s">
        <v>45</v>
      </c>
      <c r="F29" s="10">
        <v>46125</v>
      </c>
      <c r="G29" s="7">
        <f t="shared" si="0"/>
        <v>0.3</v>
      </c>
      <c r="H29" s="7" t="s">
        <v>18</v>
      </c>
      <c r="I29" s="6">
        <v>60000</v>
      </c>
      <c r="J29" s="8"/>
    </row>
    <row r="30" spans="1:10" ht="36" customHeight="1" x14ac:dyDescent="0.35">
      <c r="A30" s="2">
        <v>29</v>
      </c>
      <c r="B30" s="3" t="s">
        <v>85</v>
      </c>
      <c r="C30" s="3" t="s">
        <v>86</v>
      </c>
      <c r="D30" s="4" t="s">
        <v>86</v>
      </c>
      <c r="E30" s="3" t="s">
        <v>17</v>
      </c>
      <c r="F30" s="5">
        <v>46230</v>
      </c>
      <c r="G30" s="2">
        <f t="shared" si="0"/>
        <v>0</v>
      </c>
      <c r="H30" s="2" t="s">
        <v>87</v>
      </c>
      <c r="I30" s="6">
        <v>60000</v>
      </c>
      <c r="J30" s="3"/>
    </row>
    <row r="31" spans="1:10" ht="36" customHeight="1" x14ac:dyDescent="0.35">
      <c r="A31" s="7">
        <v>30</v>
      </c>
      <c r="B31" s="8" t="s">
        <v>88</v>
      </c>
      <c r="C31" s="8" t="s">
        <v>89</v>
      </c>
      <c r="D31" s="9" t="s">
        <v>90</v>
      </c>
      <c r="E31" s="8" t="s">
        <v>22</v>
      </c>
      <c r="F31" s="10">
        <v>46125</v>
      </c>
      <c r="G31" s="7">
        <f t="shared" si="0"/>
        <v>0.3</v>
      </c>
      <c r="H31" s="7" t="s">
        <v>91</v>
      </c>
      <c r="I31" s="6">
        <v>30000</v>
      </c>
      <c r="J31" s="8"/>
    </row>
    <row r="32" spans="1:10" ht="36" customHeight="1" x14ac:dyDescent="0.35">
      <c r="A32" s="2">
        <v>31</v>
      </c>
      <c r="B32" s="3" t="s">
        <v>92</v>
      </c>
      <c r="C32" s="3" t="s">
        <v>89</v>
      </c>
      <c r="D32" s="4" t="s">
        <v>90</v>
      </c>
      <c r="E32" s="3" t="s">
        <v>22</v>
      </c>
      <c r="F32" s="5">
        <v>46132</v>
      </c>
      <c r="G32" s="2">
        <f t="shared" si="0"/>
        <v>0.3</v>
      </c>
      <c r="H32" s="2" t="s">
        <v>91</v>
      </c>
      <c r="I32" s="6">
        <v>30000</v>
      </c>
      <c r="J32" s="3"/>
    </row>
    <row r="33" spans="1:10" ht="36" customHeight="1" x14ac:dyDescent="0.35">
      <c r="A33" s="7">
        <v>32</v>
      </c>
      <c r="B33" s="8" t="s">
        <v>93</v>
      </c>
      <c r="C33" s="8" t="s">
        <v>89</v>
      </c>
      <c r="D33" s="9" t="s">
        <v>90</v>
      </c>
      <c r="E33" s="8" t="s">
        <v>22</v>
      </c>
      <c r="F33" s="10">
        <v>46174</v>
      </c>
      <c r="G33" s="7">
        <f t="shared" si="0"/>
        <v>0.2</v>
      </c>
      <c r="H33" s="7" t="s">
        <v>91</v>
      </c>
      <c r="I33" s="6">
        <v>30000</v>
      </c>
      <c r="J33" s="8"/>
    </row>
    <row r="34" spans="1:10" ht="36" customHeight="1" x14ac:dyDescent="0.35">
      <c r="A34" s="2">
        <v>33</v>
      </c>
      <c r="B34" s="3" t="s">
        <v>94</v>
      </c>
      <c r="C34" s="3" t="s">
        <v>89</v>
      </c>
      <c r="D34" s="4" t="s">
        <v>90</v>
      </c>
      <c r="E34" s="3" t="s">
        <v>22</v>
      </c>
      <c r="F34" s="5">
        <v>46182</v>
      </c>
      <c r="G34" s="2">
        <f t="shared" si="0"/>
        <v>0.2</v>
      </c>
      <c r="H34" s="2" t="s">
        <v>91</v>
      </c>
      <c r="I34" s="6">
        <v>30000</v>
      </c>
      <c r="J34" s="3"/>
    </row>
    <row r="35" spans="1:10" ht="36" customHeight="1" x14ac:dyDescent="0.35">
      <c r="A35" s="7">
        <v>34</v>
      </c>
      <c r="B35" s="8" t="s">
        <v>95</v>
      </c>
      <c r="C35" s="8" t="s">
        <v>89</v>
      </c>
      <c r="D35" s="9" t="s">
        <v>90</v>
      </c>
      <c r="E35" s="8" t="s">
        <v>22</v>
      </c>
      <c r="F35" s="10">
        <v>46183</v>
      </c>
      <c r="G35" s="7">
        <f t="shared" si="0"/>
        <v>0.2</v>
      </c>
      <c r="H35" s="7" t="s">
        <v>87</v>
      </c>
      <c r="I35" s="6">
        <v>100000</v>
      </c>
      <c r="J35" s="8"/>
    </row>
    <row r="36" spans="1:10" ht="36" customHeight="1" x14ac:dyDescent="0.35">
      <c r="A36" s="2">
        <v>35</v>
      </c>
      <c r="B36" s="3" t="s">
        <v>96</v>
      </c>
      <c r="C36" s="3" t="s">
        <v>97</v>
      </c>
      <c r="D36" s="4" t="s">
        <v>97</v>
      </c>
      <c r="E36" s="3" t="s">
        <v>45</v>
      </c>
      <c r="F36" s="5">
        <v>46198</v>
      </c>
      <c r="G36" s="2">
        <f t="shared" si="0"/>
        <v>0.1</v>
      </c>
      <c r="H36" s="2" t="s">
        <v>87</v>
      </c>
      <c r="I36" s="6">
        <v>250000</v>
      </c>
      <c r="J36" s="3"/>
    </row>
    <row r="37" spans="1:10" ht="36" customHeight="1" x14ac:dyDescent="0.35">
      <c r="A37" s="7">
        <v>36</v>
      </c>
      <c r="B37" s="8" t="s">
        <v>98</v>
      </c>
      <c r="C37" s="8" t="s">
        <v>99</v>
      </c>
      <c r="D37" s="9" t="s">
        <v>99</v>
      </c>
      <c r="E37" s="8" t="s">
        <v>28</v>
      </c>
      <c r="F37" s="10">
        <v>46211</v>
      </c>
      <c r="G37" s="7">
        <f t="shared" si="0"/>
        <v>0.1</v>
      </c>
      <c r="H37" s="7" t="s">
        <v>91</v>
      </c>
      <c r="I37" s="6">
        <v>30000</v>
      </c>
      <c r="J37" s="8"/>
    </row>
    <row r="38" spans="1:10" ht="36" customHeight="1" x14ac:dyDescent="0.35">
      <c r="A38" s="2">
        <v>37</v>
      </c>
      <c r="B38" s="3" t="s">
        <v>100</v>
      </c>
      <c r="C38" s="3" t="s">
        <v>89</v>
      </c>
      <c r="D38" s="4" t="s">
        <v>90</v>
      </c>
      <c r="E38" s="3" t="s">
        <v>22</v>
      </c>
      <c r="F38" s="5">
        <v>46211</v>
      </c>
      <c r="G38" s="2">
        <f t="shared" si="0"/>
        <v>0.1</v>
      </c>
      <c r="H38" s="2" t="s">
        <v>91</v>
      </c>
      <c r="I38" s="6">
        <v>30000</v>
      </c>
      <c r="J38" s="3"/>
    </row>
    <row r="39" spans="1:10" ht="36" customHeight="1" x14ac:dyDescent="0.35">
      <c r="A39" s="7">
        <v>38</v>
      </c>
      <c r="B39" s="8" t="s">
        <v>101</v>
      </c>
      <c r="C39" s="8" t="s">
        <v>102</v>
      </c>
      <c r="D39" s="9" t="s">
        <v>44</v>
      </c>
      <c r="E39" s="8" t="s">
        <v>45</v>
      </c>
      <c r="F39" s="10">
        <v>46216</v>
      </c>
      <c r="G39" s="7">
        <f t="shared" si="0"/>
        <v>0.1</v>
      </c>
      <c r="H39" s="7" t="s">
        <v>87</v>
      </c>
      <c r="I39" s="6">
        <v>290000</v>
      </c>
      <c r="J39" s="8"/>
    </row>
    <row r="40" spans="1:10" ht="36" customHeight="1" x14ac:dyDescent="0.35">
      <c r="A40" s="2">
        <v>39</v>
      </c>
      <c r="B40" s="3" t="s">
        <v>103</v>
      </c>
      <c r="C40" s="3" t="s">
        <v>104</v>
      </c>
      <c r="D40" s="4" t="s">
        <v>105</v>
      </c>
      <c r="E40" s="3" t="s">
        <v>106</v>
      </c>
      <c r="F40" s="5">
        <v>46238</v>
      </c>
      <c r="G40" s="2">
        <f t="shared" si="0"/>
        <v>0</v>
      </c>
      <c r="H40" s="2" t="s">
        <v>91</v>
      </c>
      <c r="I40" s="6">
        <v>30000</v>
      </c>
      <c r="J40" s="3"/>
    </row>
    <row r="41" spans="1:10" ht="36" customHeight="1" x14ac:dyDescent="0.35">
      <c r="A41" s="11"/>
      <c r="B41" s="11"/>
      <c r="C41" s="11"/>
      <c r="D41" s="11"/>
      <c r="E41" s="11"/>
      <c r="F41" s="11"/>
      <c r="G41" s="11"/>
      <c r="H41" s="12" t="s">
        <v>107</v>
      </c>
      <c r="I41" s="13">
        <f>SUM(I2:I40)</f>
        <v>5652000</v>
      </c>
      <c r="J41" s="11"/>
    </row>
    <row r="42" spans="1:10" ht="36" customHeight="1" x14ac:dyDescent="0.35">
      <c r="H42" s="14" t="s">
        <v>108</v>
      </c>
      <c r="I42" s="14">
        <f>COUNTA(B2:B40)</f>
        <v>39</v>
      </c>
    </row>
    <row r="43" spans="1:10" ht="36" customHeight="1" x14ac:dyDescent="0.35"/>
  </sheetData>
  <autoFilter ref="A1:J4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zoomScale="67" workbookViewId="0">
      <selection activeCell="H11" sqref="H11"/>
    </sheetView>
  </sheetViews>
  <sheetFormatPr defaultRowHeight="14.5" x14ac:dyDescent="0.35"/>
  <cols>
    <col min="1" max="1" width="28" customWidth="1"/>
    <col min="2" max="2" width="12" customWidth="1"/>
    <col min="3" max="4" width="20" customWidth="1"/>
  </cols>
  <sheetData>
    <row r="1" spans="1:4" ht="21" x14ac:dyDescent="0.5">
      <c r="A1" s="15" t="s">
        <v>109</v>
      </c>
    </row>
    <row r="2" spans="1:4" x14ac:dyDescent="0.35">
      <c r="A2" s="16" t="s">
        <v>110</v>
      </c>
    </row>
    <row r="4" spans="1:4" ht="28" customHeight="1" x14ac:dyDescent="0.35">
      <c r="A4" s="12" t="s">
        <v>111</v>
      </c>
    </row>
    <row r="5" spans="1:4" ht="28" customHeight="1" x14ac:dyDescent="0.35">
      <c r="A5" s="17" t="s">
        <v>4</v>
      </c>
      <c r="B5" s="17" t="s">
        <v>112</v>
      </c>
      <c r="C5" s="17" t="s">
        <v>113</v>
      </c>
      <c r="D5" s="17" t="s">
        <v>114</v>
      </c>
    </row>
    <row r="6" spans="1:4" ht="36" customHeight="1" x14ac:dyDescent="0.35">
      <c r="A6" s="8" t="s">
        <v>45</v>
      </c>
      <c r="B6" s="7">
        <v>8</v>
      </c>
      <c r="C6" s="18">
        <v>1445000</v>
      </c>
      <c r="D6" s="18">
        <v>180625</v>
      </c>
    </row>
    <row r="7" spans="1:4" ht="36" customHeight="1" x14ac:dyDescent="0.35">
      <c r="A7" s="8" t="s">
        <v>22</v>
      </c>
      <c r="B7" s="7">
        <v>7</v>
      </c>
      <c r="C7" s="18">
        <v>500000</v>
      </c>
      <c r="D7" s="18">
        <v>71429</v>
      </c>
    </row>
    <row r="8" spans="1:4" ht="36" customHeight="1" x14ac:dyDescent="0.35">
      <c r="A8" s="8" t="s">
        <v>32</v>
      </c>
      <c r="B8" s="7">
        <v>7</v>
      </c>
      <c r="C8" s="18">
        <v>1300000</v>
      </c>
      <c r="D8" s="18">
        <v>185714</v>
      </c>
    </row>
    <row r="9" spans="1:4" ht="36" customHeight="1" x14ac:dyDescent="0.35">
      <c r="A9" s="8" t="s">
        <v>17</v>
      </c>
      <c r="B9" s="7">
        <v>3</v>
      </c>
      <c r="C9" s="18">
        <v>287000</v>
      </c>
      <c r="D9" s="18">
        <v>95667</v>
      </c>
    </row>
    <row r="10" spans="1:4" ht="36" customHeight="1" x14ac:dyDescent="0.35">
      <c r="A10" s="8" t="s">
        <v>35</v>
      </c>
      <c r="B10" s="7">
        <v>2</v>
      </c>
      <c r="C10" s="18">
        <v>310000</v>
      </c>
      <c r="D10" s="18">
        <v>155000</v>
      </c>
    </row>
    <row r="11" spans="1:4" ht="36" customHeight="1" x14ac:dyDescent="0.35">
      <c r="A11" s="8" t="s">
        <v>28</v>
      </c>
      <c r="B11" s="7">
        <v>2</v>
      </c>
      <c r="C11" s="18">
        <v>280000</v>
      </c>
      <c r="D11" s="18">
        <v>140000</v>
      </c>
    </row>
    <row r="12" spans="1:4" ht="36" customHeight="1" x14ac:dyDescent="0.35">
      <c r="A12" s="8" t="s">
        <v>12</v>
      </c>
      <c r="B12" s="7">
        <v>2</v>
      </c>
      <c r="C12" s="18">
        <v>90000</v>
      </c>
      <c r="D12" s="18">
        <v>45000</v>
      </c>
    </row>
    <row r="13" spans="1:4" ht="36" customHeight="1" x14ac:dyDescent="0.35">
      <c r="A13" s="8" t="s">
        <v>106</v>
      </c>
      <c r="B13" s="7">
        <v>1</v>
      </c>
      <c r="C13" s="18">
        <v>30000</v>
      </c>
      <c r="D13" s="18">
        <v>30000</v>
      </c>
    </row>
    <row r="14" spans="1:4" ht="36" customHeight="1" x14ac:dyDescent="0.35">
      <c r="A14" s="8" t="s">
        <v>70</v>
      </c>
      <c r="B14" s="7">
        <v>1</v>
      </c>
      <c r="C14" s="18">
        <v>220000</v>
      </c>
      <c r="D14" s="18">
        <v>220000</v>
      </c>
    </row>
    <row r="15" spans="1:4" ht="36" customHeight="1" x14ac:dyDescent="0.35">
      <c r="A15" s="8" t="s">
        <v>76</v>
      </c>
      <c r="B15" s="7">
        <v>1</v>
      </c>
      <c r="C15" s="18">
        <v>150000</v>
      </c>
      <c r="D15" s="18">
        <v>150000</v>
      </c>
    </row>
    <row r="16" spans="1:4" ht="36" customHeight="1" x14ac:dyDescent="0.35">
      <c r="A16" s="8" t="s">
        <v>65</v>
      </c>
      <c r="B16" s="7">
        <v>1</v>
      </c>
      <c r="C16" s="18">
        <v>240000</v>
      </c>
      <c r="D16" s="18">
        <v>240000</v>
      </c>
    </row>
    <row r="17" spans="1:4" ht="36" customHeight="1" x14ac:dyDescent="0.35">
      <c r="A17" s="8" t="s">
        <v>80</v>
      </c>
      <c r="B17" s="7">
        <v>1</v>
      </c>
      <c r="C17" s="18">
        <v>400000</v>
      </c>
      <c r="D17" s="18">
        <v>400000</v>
      </c>
    </row>
    <row r="18" spans="1:4" ht="36" customHeight="1" x14ac:dyDescent="0.35">
      <c r="A18" s="8" t="s">
        <v>49</v>
      </c>
      <c r="B18" s="7">
        <v>1</v>
      </c>
      <c r="C18" s="18">
        <v>200000</v>
      </c>
      <c r="D18" s="18">
        <v>200000</v>
      </c>
    </row>
    <row r="19" spans="1:4" ht="36" customHeight="1" x14ac:dyDescent="0.35">
      <c r="A19" s="8" t="s">
        <v>39</v>
      </c>
      <c r="B19" s="7">
        <v>1</v>
      </c>
      <c r="C19" s="18">
        <v>150000</v>
      </c>
      <c r="D19" s="18">
        <v>150000</v>
      </c>
    </row>
    <row r="20" spans="1:4" ht="36" customHeight="1" x14ac:dyDescent="0.35">
      <c r="A20" s="8" t="s">
        <v>59</v>
      </c>
      <c r="B20" s="7">
        <v>1</v>
      </c>
      <c r="C20" s="18">
        <v>50000</v>
      </c>
      <c r="D20" s="18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Master - Aug 2026</vt:lpstr>
      <vt:lpstr>Executive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Basil Abbas</cp:lastModifiedBy>
  <dcterms:created xsi:type="dcterms:W3CDTF">2026-08-07T07:48:39Z</dcterms:created>
  <dcterms:modified xsi:type="dcterms:W3CDTF">2026-08-07T08:28:58Z</dcterms:modified>
</cp:coreProperties>
</file>